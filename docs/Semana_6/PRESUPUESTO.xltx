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celia\OneDrive\Documentos\CELIA US\OneDrive\Documentos\"/>
    </mc:Choice>
  </mc:AlternateContent>
  <xr:revisionPtr revIDLastSave="0" documentId="8_{9EECDA59-C241-4FA5-8CC0-504411F15C99}" xr6:coauthVersionLast="47" xr6:coauthVersionMax="47" xr10:uidLastSave="{00000000-0000-0000-0000-000000000000}"/>
  <bookViews>
    <workbookView xWindow="-110" yWindow="-110" windowWidth="19420" windowHeight="10300" xr2:uid="{6B0C1380-B25F-403E-B8F5-86330A8F069A}"/>
  </bookViews>
  <sheets>
    <sheet name="Hoja1" sheetId="1" r:id="rId1"/>
  </sheets>
  <calcPr calcId="191029"/>
  <pivotCaches>
    <pivotCache cacheId="50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AE1876-DF0F-4577-82A0-BAB7B96E9BF7}" keepAlive="1" name="Conexión" type="5" refreshedVersion="8">
    <dbPr connection="Provider=MSOLAP.8;Persist Security Info=True;Data Source=C:\Users\celia\AppData\Local\Temp\VisualReportsTemporaryData\{71990dd9-3eb6-f011-8285-ac3ba8734509}\TaskTP.cub;MDX Compatibility=1;Safety Options=2;MDX Missing Member Mode=Error;Update Isolation Level=2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<sst xmlns="http://schemas.openxmlformats.org/spreadsheetml/2006/main" count="43" uniqueCount="32">
  <si>
    <t>Cost</t>
  </si>
  <si>
    <t>Datos</t>
  </si>
  <si>
    <t>Cumulative Cost</t>
  </si>
  <si>
    <t>Year</t>
  </si>
  <si>
    <t>2025</t>
  </si>
  <si>
    <t>Total general</t>
  </si>
  <si>
    <t xml:space="preserve">Task </t>
  </si>
  <si>
    <t>Project1</t>
  </si>
  <si>
    <t>Total Cost</t>
  </si>
  <si>
    <t>Total Cumulative Cost</t>
  </si>
  <si>
    <t>Task  1</t>
  </si>
  <si>
    <t>Proyecto</t>
  </si>
  <si>
    <t>Task  2</t>
  </si>
  <si>
    <t>Inicio</t>
  </si>
  <si>
    <t>Planificación</t>
  </si>
  <si>
    <t>Desarrollo</t>
  </si>
  <si>
    <t>Seguimiento y Control</t>
  </si>
  <si>
    <t>Cierre</t>
  </si>
  <si>
    <t>Quarter</t>
  </si>
  <si>
    <t>Q3</t>
  </si>
  <si>
    <t>Q4</t>
  </si>
  <si>
    <t>Week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</si>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</sst>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/>
      <right/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indexed="65"/>
      </top>
      <bottom/>
      <diagonal/>
    </border>
    <border>
      <left/>
      <right/>
      <top style="thin">
        <color rgb="FFABABAB"/>
      </top>
      <bottom style="thin">
        <color rgb="FFABABAB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pivotButton="1" applyBorder="1"/>
    <xf numFmtId="0" fontId="0" fillId="0" borderId="6" xfId="0" applyBorder="1"/>
    <xf numFmtId="0" fontId="0" fillId="0" borderId="7" xfId="0" applyBorder="1"/>
    <xf numFmtId="0" fontId="0" fillId="0" borderId="8" xfId="0" applyNumberFormat="1" applyBorder="1"/>
    <xf numFmtId="0" fontId="0" fillId="0" borderId="6" xfId="0" applyNumberFormat="1" applyBorder="1"/>
    <xf numFmtId="0" fontId="0" fillId="0" borderId="1" xfId="0" applyNumberFormat="1" applyBorder="1"/>
    <xf numFmtId="0" fontId="0" fillId="0" borderId="9" xfId="0" applyBorder="1"/>
    <xf numFmtId="0" fontId="0" fillId="0" borderId="7" xfId="0" applyNumberFormat="1" applyBorder="1"/>
    <xf numFmtId="0" fontId="0" fillId="0" borderId="10" xfId="0" applyBorder="1"/>
    <xf numFmtId="0" fontId="0" fillId="0" borderId="10" xfId="0" applyNumberFormat="1" applyBorder="1"/>
    <xf numFmtId="0" fontId="0" fillId="0" borderId="11" xfId="0" applyNumberFormat="1" applyBorder="1"/>
    <xf numFmtId="0" fontId="0" fillId="0" borderId="2" xfId="0" pivotButton="1" applyBorder="1"/>
    <xf numFmtId="0" fontId="0" fillId="0" borderId="12" xfId="0" applyBorder="1"/>
    <xf numFmtId="0" fontId="0" fillId="0" borderId="13" xfId="0" applyBorder="1"/>
    <xf numFmtId="0" fontId="0" fillId="0" borderId="12" xfId="0" applyNumberFormat="1" applyBorder="1"/>
    <xf numFmtId="0" fontId="0" fillId="0" borderId="0" xfId="0" applyNumberFormat="1"/>
    <xf numFmtId="0" fontId="0" fillId="0" borderId="1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celiasuarez2@outlook.es" refreshedDate="45961.452304861108" createdVersion="8" refreshedVersion="8" recordCount="0" supportSubquery="1" supportAdvancedDrill="1" xr:uid="{0EDBFD38-72AA-4063-A29B-D614315F7A56}">
  <cacheSource type="external" connectionId="1"/>
  <cacheFields count="28">
    <cacheField name="[Measures].[Cost]" caption="Cost" numFmtId="0" hierarchy="31" level="32767"/>
    <cacheField name="[Measures].[Cumulative Cost]" caption="Cumulative Cost" numFmtId="0" hierarchy="36" level="32767"/>
    <cacheField name="[Time].[Weekly Calendar].[Year]" caption="Year" numFmtId="0" hierarchy="1" level="1">
      <sharedItems count="1">
        <s v="[Time].[Weekly Calendar].[Year].&amp;[2025]" c="2025"/>
      </sharedItems>
    </cacheField>
    <cacheField name="[Time].[Weekly Calendar].[Quarter]" caption="Quarter" numFmtId="0" hierarchy="1" level="2">
      <sharedItems count="2">
        <s v="[Time].[Weekly Calendar].[Year].&amp;[2025].&amp;[Q3]" c="Q3"/>
        <s v="[Time].[Weekly Calendar].[Year].&amp;[2025].&amp;[Q4]" c="Q4"/>
      </sharedItems>
    </cacheField>
    <cacheField name="[Time].[Weekly Calendar].[Week]" caption="Week" numFmtId="0" hierarchy="1" level="3">
      <sharedItems count="10">
        <s v="[Time].[Weekly Calendar].[Year].&amp;[2025].&amp;[Q3].&amp;[0]" c="Week 40"/>
        <s v="[Time].[Weekly Calendar].[Year].&amp;[2025].&amp;[Q4].&amp;[1]" c="Week 41"/>
        <s v="[Time].[Weekly Calendar].[Year].&amp;[2025].&amp;[Q4].&amp;[2]" c="Week 42"/>
        <s v="[Time].[Weekly Calendar].[Year].&amp;[2025].&amp;[Q4].&amp;[3]" c="Week 43"/>
        <s v="[Time].[Weekly Calendar].[Year].&amp;[2025].&amp;[Q4].&amp;[4]" c="Week 44"/>
        <s v="[Time].[Weekly Calendar].[Year].&amp;[2025].&amp;[Q4].&amp;[5]" c="Week 45"/>
        <s v="[Time].[Weekly Calendar].[Year].&amp;[2025].&amp;[Q4].&amp;[6]" c="Week 46"/>
        <s v="[Time].[Weekly Calendar].[Year].&amp;[2025].&amp;[Q4].&amp;[7]" c="Week 47"/>
        <s v="[Time].[Weekly Calendar].[Year].&amp;[2025].&amp;[Q4].&amp;[8]" c="Week 48"/>
        <s v="[Time].[Weekly Calendar].[Year].&amp;[2025].&amp;[Q4].&amp;[9]" c="Week 49"/>
      </sharedItems>
    </cacheField>
    <cacheField name="[Tasks].[Tasks].[Task ]" caption="Task " numFmtId="0" level="1" mappingCount="17">
      <sharedItems count="1">
        <s v="[Tasks].[Tasks].&amp;[{C5463499-A4A9-F011-8282-A73029B4C345}]" c="Project1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sks].[Tasks].[Task  1]" caption="Task  1" numFmtId="0" level="2" mappingCount="17">
      <sharedItems count="2">
        <s v="[Tasks].[Tasks].&amp;[{C5463499-A4A9-F011-8282-A73029B4C345}].DATAMEMBER" c="Project1"/>
        <s v="[Tasks].[Tasks].&amp;[{69E78D1F-B4A9-F011-8282-A73029B4C345}]" c="Proyecto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sks].[Tasks].[Task  2]" caption="Task  2" numFmtId="0" level="3" mappingCount="17">
      <sharedItems count="6">
        <s v="[Tasks].[Tasks].&amp;[{69E78D1F-B4A9-F011-8282-A73029B4C345}].DATAMEMBER" c="Proyecto"/>
        <s v="[Tasks].[Tasks].&amp;[{83B23389-BCA9-F011-8282-A73029B4C345}]" c="Inicio"/>
        <s v="[Tasks].[Tasks].&amp;[{1C7607A9-BCA9-F011-8282-A73029B4C345}]" c="Planificación"/>
        <s v="[Tasks].[Tasks].&amp;[{86D85AAE-AEA9-F011-8282-A73029B4C345}]" c="Desarrollo"/>
        <s v="[Tasks].[Tasks].&amp;[{7AFFFAB0-BAA9-F011-8282-A73029B4C345}]" c="Seguimiento y Control"/>
        <s v="[Tasks].[Tasks].&amp;[{A6FFFAB0-BAA9-F011-8282-A73029B4C345}]" c="Cierre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sks].[Tasks].[Task  3]" caption="Task  3" numFmtId="0" level="4">
      <sharedItems containsSemiMixedTypes="0" containsString="0"/>
    </cacheField>
    <cacheField name="[Tasks].[Tasks].[Task  4]" caption="Task  4" numFmtId="0" level="5">
      <sharedItems containsSemiMixedTypes="0" containsString="0"/>
    </cacheField>
    <cacheField name="[Tasks].[Tasks].[Task  5]" caption="Task  5" numFmtId="0" level="6">
      <sharedItems containsSemiMixedTypes="0" containsString="0"/>
    </cacheField>
    <cacheField name="[Tasks].[Tasks].[Baseline Cost]" caption="Baseline Cost" propertyName="Baseline Cost" numFmtId="0" level="32767" memberPropertyField="1">
      <sharedItems count="3">
        <s v="0"/>
        <s v="1802.4000000000001"/>
        <s v="4904"/>
      </sharedItems>
    </cacheField>
    <cacheField name="[Tasks].[Tasks].[Baseline Duration]" caption="Baseline Duration" propertyName="Baseline Duration" numFmtId="0" level="32767" memberPropertyField="1">
      <sharedItems count="3">
        <s v="0 days?"/>
        <s v="434,67 days"/>
        <s v="14,67 days"/>
      </sharedItems>
    </cacheField>
    <cacheField name="[Tasks].[Tasks].[Baseline Finish]" caption="Baseline Finish" propertyName="Baseline Finish" numFmtId="0" level="32767" memberPropertyField="1">
      <sharedItems count="3">
        <s v="NA"/>
        <s v="Thu 30/01/25"/>
        <s v="Fri 14/02/25"/>
      </sharedItems>
    </cacheField>
    <cacheField name="[Tasks].[Tasks].[Baseline Start]" caption="Baseline Start" propertyName="Baseline Start" numFmtId="0" level="32767" memberPropertyField="1">
      <sharedItems count="3">
        <s v="NA"/>
        <s v="Thu 02/11/23"/>
        <s v="Fri 31/01/25"/>
      </sharedItems>
    </cacheField>
    <cacheField name="[Tasks].[Tasks].[Baseline Work]" caption="Baseline Work" propertyName="Baseline Work" numFmtId="0" level="32767" memberPropertyField="1">
      <sharedItems count="3">
        <s v="0"/>
        <s v="36"/>
        <s v="88"/>
      </sharedItems>
    </cacheField>
    <cacheField name="[Tasks].[Tasks].[Constraint Date]" caption="Constraint Date" propertyName="Constraint Date" numFmtId="0" level="32767" memberPropertyField="1">
      <sharedItems count="3">
        <s v=""/>
        <s v="11/3/2025 8:00:00 AM"/>
        <s v="11/24/2025 8:00:00 AM"/>
      </sharedItems>
    </cacheField>
    <cacheField name="[Tasks].[Tasks].[Duration]" caption="Duration" propertyName="Duration" numFmtId="0" level="32767" memberPropertyField="1">
      <sharedItems count="6">
        <s v="59 days"/>
        <s v="6 days"/>
        <s v="23 days"/>
        <s v="18 days"/>
        <s v="5,5 days"/>
        <s v="4 days"/>
      </sharedItems>
    </cacheField>
    <cacheField name="[Tasks].[Tasks].[Finish]" caption="Finish" propertyName="Finish" numFmtId="0" level="32767" memberPropertyField="1">
      <sharedItems count="6">
        <s v="Fri 05/12/25"/>
        <s v="Sat 04/10/25"/>
        <s v="Fri 31/10/25"/>
        <s v="Sat 22/11/25"/>
        <s v="Fri 28/11/25"/>
        <s v="Thu 04/12/25"/>
      </sharedItems>
    </cacheField>
    <cacheField name="[Tasks].[Tasks].[Free Slack]" caption="Free Slack" propertyName="Free Slack" numFmtId="0" level="32767" memberPropertyField="1">
      <sharedItems count="2">
        <s v="0"/>
        <s v="1"/>
      </sharedItems>
    </cacheField>
    <cacheField name="[Tasks].[Tasks].[Leveling Delay]" caption="Leveling Delay" propertyName="Leveling Delay" numFmtId="0" level="32767" memberPropertyField="1">
      <sharedItems count="1">
        <s v="0"/>
      </sharedItems>
    </cacheField>
    <cacheField name="[Tasks].[Tasks].[Physical Percent Complete]" caption="Physical Percent Complete" propertyName="Physical Percent Complete" numFmtId="0" level="32767" memberPropertyField="1">
      <sharedItems count="1">
        <s v="0"/>
      </sharedItems>
    </cacheField>
    <cacheField name="[Tasks].[Tasks].[Priority]" caption="Priority" propertyName="Priority" numFmtId="0" level="32767" memberPropertyField="1">
      <sharedItems count="1">
        <s v="500"/>
      </sharedItems>
    </cacheField>
    <cacheField name="[Tasks].[Tasks].[Start]" caption="Start" propertyName="Start" numFmtId="0" level="32767" memberPropertyField="1">
      <sharedItems count="5">
        <s v="Mon 29/09/25"/>
        <s v="Mon 06/10/25"/>
        <s v="Mon 03/11/25"/>
        <s v="Mon 24/11/25"/>
        <s v="Mon 01/12/25"/>
      </sharedItems>
    </cacheField>
    <cacheField name="[Tasks].[Tasks].[TaskID]" caption="TaskID" propertyName="TaskID" numFmtId="0" level="32767" memberPropertyField="1">
      <sharedItems count="7">
        <s v="0"/>
        <s v="1"/>
        <s v="2"/>
        <s v="4"/>
        <s v="7"/>
        <s v="30"/>
        <s v="32"/>
      </sharedItems>
    </cacheField>
    <cacheField name="[Tasks].[Tasks].[Tasks]" caption="Tasks" propertyName="Tasks" numFmtId="0" level="32767" memberPropertyField="1">
      <sharedItems containsBlank="1" count="3">
        <m/>
        <s v="Project1"/>
        <s v="Proyecto"/>
      </sharedItems>
    </cacheField>
    <cacheField name="[Tasks].[Tasks].[Total Slack]" caption="Total Slack" propertyName="Total Slack" numFmtId="0" level="32767" memberPropertyField="1">
      <sharedItems count="4">
        <s v="0"/>
        <s v="30"/>
        <s v="5.666666666666667"/>
        <s v="0.66666666666666663"/>
      </sharedItems>
    </cacheField>
    <cacheField name="[Tasks].[Tasks].[WBS]" caption="WBS" propertyName="WBS" numFmtId="0" level="32767" memberPropertyField="1">
      <sharedItems count="7">
        <s v=""/>
        <s v="1"/>
        <s v="1.1"/>
        <s v="1.2"/>
        <s v="1.3"/>
        <s v="1.4"/>
        <s v="1.5"/>
      </sharedItems>
    </cacheField>
  </cacheFields>
  <cacheHierarchies count="40">
    <cacheHierarchy uniqueName="[Tasks].[Tasks]" caption="Tasks" defaultMemberUniqueName="[Tasks].[Tasks].[All]" allUniqueName="[Tasks].[Tasks].[All]" dimensionUniqueName="[Tasks]" displayFolder="" count="7" unbalanced="1">
      <fieldsUsage count="7">
        <fieldUsage x="-1"/>
        <fieldUsage x="5"/>
        <fieldUsage x="6"/>
        <fieldUsage x="7"/>
        <fieldUsage x="8"/>
        <fieldUsage x="9"/>
        <fieldUsage x="10"/>
      </fieldsUsage>
    </cacheHierarchy>
    <cacheHierarchy uniqueName="[Time].[Weekly Calendar]" caption="Weekly Calendar" time="1" defaultMemberUniqueName="[Time].[Weekly Calendar].[All]" allUniqueName="[Time].[Weekly Calendar].[All]" dimensionUniqueName="[Time]" displayFolder="" count="4" unbalanced="0">
      <fieldsUsage count="4">
        <fieldUsage x="-1"/>
        <fieldUsage x="2"/>
        <fieldUsage x="3"/>
        <fieldUsage x="4"/>
      </fieldsUsage>
    </cacheHierarchy>
    <cacheHierarchy uniqueName="[Tasks].[Baseline Cost]" caption="Baseline Cost" attribute="1" defaultMemberUniqueName="[Tasks].[Baseline Cost].[All]" allUniqueName="[Tasks].[Baseline Cost].[All]" dimensionUniqueName="[Tasks]" displayFolder="" count="0" unbalanced="0" hidden="1"/>
    <cacheHierarchy uniqueName="[Tasks].[Baseline Duration]" caption="Baseline Duration" attribute="1" defaultMemberUniqueName="[Tasks].[Baseline Duration].[All]" allUniqueName="[Tasks].[Baseline Duration].[All]" dimensionUniqueName="[Tasks]" displayFolder="" count="0" unbalanced="0" hidden="1"/>
    <cacheHierarchy uniqueName="[Tasks].[Baseline Finish]" caption="Baseline Finish" attribute="1" defaultMemberUniqueName="[Tasks].[Baseline Finish].[All]" allUniqueName="[Tasks].[Baseline Finish].[All]" dimensionUniqueName="[Tasks]" displayFolder="" count="0" unbalanced="0" hidden="1"/>
    <cacheHierarchy uniqueName="[Tasks].[Baseline Start]" caption="Baseline Start" attribute="1" defaultMemberUniqueName="[Tasks].[Baseline Start].[All]" allUniqueName="[Tasks].[Baseline Start].[All]" dimensionUniqueName="[Tasks]" displayFolder="" count="0" unbalanced="0" hidden="1"/>
    <cacheHierarchy uniqueName="[Tasks].[Baseline Work]" caption="Baseline Work" attribute="1" defaultMemberUniqueName="[Tasks].[Baseline Work].[All]" allUniqueName="[Tasks].[Baseline Work].[All]" dimensionUniqueName="[Tasks]" displayFolder="" count="0" unbalanced="0" hidden="1"/>
    <cacheHierarchy uniqueName="[Tasks].[Constraint Date]" caption="Constraint Date" attribute="1" defaultMemberUniqueName="[Tasks].[Constraint Date].[All]" allUniqueName="[Tasks].[Constraint Date].[All]" dimensionUniqueName="[Tasks]" displayFolder="" count="0" unbalanced="0" hidden="1"/>
    <cacheHierarchy uniqueName="[Tasks].[Duration]" caption="Duration" attribute="1" defaultMemberUniqueName="[Tasks].[Duration].[All]" allUniqueName="[Tasks].[Duration].[All]" dimensionUniqueName="[Tasks]" displayFolder="" count="0" unbalanced="0" hidden="1"/>
    <cacheHierarchy uniqueName="[Tasks].[Finish]" caption="Finish" attribute="1" defaultMemberUniqueName="[Tasks].[Finish].[All]" allUniqueName="[Tasks].[Finish].[All]" dimensionUniqueName="[Tasks]" displayFolder="" count="0" unbalanced="0" hidden="1"/>
    <cacheHierarchy uniqueName="[Tasks].[Free Slack]" caption="Free Slack" attribute="1" defaultMemberUniqueName="[Tasks].[Free Slack].[All]" allUniqueName="[Tasks].[Free Slack].[All]" dimensionUniqueName="[Tasks]" displayFolder="" count="0" unbalanced="0" hidden="1"/>
    <cacheHierarchy uniqueName="[Tasks].[Leveling Delay]" caption="Leveling Delay" attribute="1" defaultMemberUniqueName="[Tasks].[Leveling Delay].[All]" allUniqueName="[Tasks].[Leveling Delay].[All]" dimensionUniqueName="[Tasks]" displayFolder="" count="0" unbalanced="0" hidden="1"/>
    <cacheHierarchy uniqueName="[Tasks].[Physical Percent Complete]" caption="Physical Percent Complete" attribute="1" defaultMemberUniqueName="[Tasks].[Physical Percent Complete].[All]" allUniqueName="[Tasks].[Physical Percent Complete].[All]" dimensionUniqueName="[Tasks]" displayFolder="" count="0" unbalanced="0" hidden="1"/>
    <cacheHierarchy uniqueName="[Tasks].[Priority]" caption="Priority" attribute="1" defaultMemberUniqueName="[Tasks].[Priority].[All]" allUniqueName="[Tasks].[Priority].[All]" dimensionUniqueName="[Tasks]" displayFolder="" count="0" unbalanced="0" hidden="1"/>
    <cacheHierarchy uniqueName="[Tasks].[Start]" caption="Start" attribute="1" defaultMemberUniqueName="[Tasks].[Start].[All]" allUniqueName="[Tasks].[Start].[All]" dimensionUniqueName="[Tasks]" displayFolder="" count="0" unbalanced="0" hidden="1"/>
    <cacheHierarchy uniqueName="[Tasks].[TaskID]" caption="TaskID" attribute="1" defaultMemberUniqueName="[Tasks].[TaskID].[All]" allUniqueName="[Tasks].[TaskID].[All]" dimensionUniqueName="[Tasks]" displayFolder="" count="0" unbalanced="0" hidden="1"/>
    <cacheHierarchy uniqueName="[Tasks].[TaskUID]" caption="TaskUID" attribute="1" keyAttribute="1" defaultMemberUniqueName="[Tasks].[TaskUID].[All]" allUniqueName="[Tasks].[TaskUID].[All]" dimensionUniqueName="[Tasks]" displayFolder="" count="0" unbalanced="0" hidden="1"/>
    <cacheHierarchy uniqueName="[Tasks].[Total Slack]" caption="Total Slack" attribute="1" defaultMemberUniqueName="[Tasks].[Total Slack].[All]" allUniqueName="[Tasks].[Total Slack].[All]" dimensionUniqueName="[Tasks]" displayFolder="" count="0" unbalanced="0" hidden="1"/>
    <cacheHierarchy uniqueName="[Tasks].[WBS]" caption="WBS" attribute="1" defaultMemberUniqueName="[Tasks].[WBS].[All]" allUniqueName="[Tasks].[WBS].[All]" dimensionUniqueName="[Tasks]" displayFolder="" count="0" unbalanced="0" hidden="1"/>
    <cacheHierarchy uniqueName="[Time].[TIME_ID]" caption="TIME_ID" attribute="1" time="1" defaultMemberUniqueName="[Time].[TIME_ID].[All]" allUniqueName="[Time].[TIME_ID].[All]" dimensionUniqueName="[Time]" displayFolder="" count="0" unbalanced="0" hidden="1"/>
    <cacheHierarchy uniqueName="[Time].[TimeByDay]" caption="TimeByDay" attribute="1" time="1" keyAttribute="1" defaultMemberUniqueName="[Time].[TimeByDay].[All]" allUniqueName="[Time].[TimeByDay].[All]" dimensionUniqueName="[Time]" displayFolder="" count="0" memberValueDatatype="130" unbalanced="0" hidden="1"/>
    <cacheHierarchy uniqueName="[Time].[TimeNumericalWeekOfTheYear]" caption="TimeNumericalWeekOfTheYear" attribute="1" time="1" defaultMemberUniqueName="[Time].[TimeNumericalWeekOfTheYear].[All]" allUniqueName="[Time].[TimeNumericalWeekOfTheYear].[All]" dimensionUniqueName="[Time]" displayFolder="" count="0" unbalanced="0" hidden="1"/>
    <cacheHierarchy uniqueName="[Time].[TimeQuarter]" caption="TimeQuarter" attribute="1" time="1" defaultMemberUniqueName="[Time].[TimeQuarter].[All]" allUniqueName="[Time].[TimeQuarter].[All]" dimensionUniqueName="[Time]" displayFolder="" count="0" unbalanced="0" hidden="1"/>
    <cacheHierarchy uniqueName="[Time].[TimeYear]" caption="TimeYear" attribute="1" time="1" defaultMemberUniqueName="[Time].[TimeYear].[All]" allUniqueName="[Time].[TimeYear].[All]" dimensionUniqueName="[Time]" displayFolder="" count="0" unbalanced="0" hidden="1"/>
    <cacheHierarchy uniqueName="[Measures].[Actual Cost]" caption="Actual Cost" measure="1" displayFolder="" measureGroup="Values" count="0"/>
    <cacheHierarchy uniqueName="[Measures].[Actual Overtime Work]" caption="Actual Overtime Work" measure="1" displayFolder="" measureGroup="Values" count="0"/>
    <cacheHierarchy uniqueName="[Measures].[Actual Work]" caption="Actual Work" measure="1" displayFolder="" measureGroup="Values" count="0"/>
    <cacheHierarchy uniqueName="[Measures].[Baseline Budget Cost]" caption="Baseline Budget Cost" measure="1" displayFolder="" measureGroup="Values" count="0"/>
    <cacheHierarchy uniqueName="[Measures].[Baseline Budget Work]" caption="Baseline Budget Work" measure="1" displayFolder="" measureGroup="Values" count="0"/>
    <cacheHierarchy uniqueName="[Measures].[Budget Cost]" caption="Budget Cost" measure="1" displayFolder="" measureGroup="Values" count="0"/>
    <cacheHierarchy uniqueName="[Measures].[Budget Work]" caption="Budget Work" measure="1" displayFolder="" measureGroup="Values" count="0"/>
    <cacheHierarchy uniqueName="[Measures].[Cost]" caption="Cost" measure="1" displayFolder="" measureGroup="Values" count="0" oneField="1">
      <fieldsUsage count="1">
        <fieldUsage x="0"/>
      </fieldsUsage>
    </cacheHierarchy>
    <cacheHierarchy uniqueName="[Measures].[Fixed Cost]" caption="Fixed Cost" measure="1" displayFolder="" measureGroup="Values" count="0"/>
    <cacheHierarchy uniqueName="[Measures].[Overtime Work]" caption="Overtime Work" measure="1" displayFolder="" measureGroup="Values" count="0"/>
    <cacheHierarchy uniqueName="[Measures].[Regular Work]" caption="Regular Work" measure="1" displayFolder="" measureGroup="Values" count="0"/>
    <cacheHierarchy uniqueName="[Measures].[Work]" caption="Work" measure="1" displayFolder="" measureGroup="Values" count="0"/>
    <cacheHierarchy uniqueName="[Measures].[Cumulative Cost]" caption="Cumulative Cost" measure="1" displayFolder="" count="0" oneField="1">
      <fieldsUsage count="1">
        <fieldUsage x="1"/>
      </fieldsUsage>
    </cacheHierarchy>
    <cacheHierarchy uniqueName="[Measures].[Cumulative Work]" caption="Cumulative Work" measure="1" displayFolder="" count="0"/>
    <cacheHierarchy uniqueName="[Measures].[_ADRCUMULCOST]" caption="_ADRCUMULCOST" measure="1" displayFolder="" measureGroup="Values" count="0" hidden="1"/>
    <cacheHierarchy uniqueName="[Measures].[_ADRCUMULWORK]" caption="_ADRCUMULWORK" measure="1" displayFolder="" measureGroup="Values" count="0" hidden="1"/>
  </cacheHierarchies>
  <kpis count="0"/>
  <dimensions count="3">
    <dimension measure="1" name="Measures" uniqueName="[Measures]" caption="Measures"/>
    <dimension name="Tasks" uniqueName="[Tasks]" caption="Tasks"/>
    <dimension name="Time" uniqueName="[Time]" caption="Time"/>
  </dimensions>
  <measureGroups count="1">
    <measureGroup name="Values" caption="Values"/>
  </measureGroups>
  <maps count="2">
    <map measureGroup="0" dimension="1"/>
    <map measureGroup="0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2FC569-2ECA-496E-B390-5342F2390D86}" name="Report" cacheId="50" dataOnRows="1" applyNumberFormats="0" applyBorderFormats="0" applyFontFormats="0" applyPatternFormats="0" applyAlignmentFormats="0" applyWidthHeightFormats="1" dataCaption="Datos" updatedVersion="8" minRefreshableVersion="3" useAutoFormatting="1" itemPrintTitles="1" createdVersion="8" indent="0" compact="0" compactData="0" gridDropZones="1" fieldListSortAscending="1">
  <location ref="A1:O20" firstHeaderRow="1" firstDataRow="4" firstDataCol="4"/>
  <pivotFields count="28">
    <pivotField dataField="1" compact="0" outline="0" subtotalTop="0" showAll="0" defaultSubtotal="0"/>
    <pivotField dataField="1" compact="0" outline="0" subtotalTop="0" showAll="0" defaultSubtotal="0"/>
    <pivotField axis="axisCol" compact="0" allDrilled="1" outline="0" subtotalTop="0" showAll="0" dataSourceSort="1" defaultSubtotal="0">
      <items count="1">
        <item c="1" x="0" d="1"/>
      </items>
    </pivotField>
    <pivotField axis="axisCol" compact="0" outline="0" subtotalTop="0" showAll="0" dataSourceSort="1" defaultSubtotal="0">
      <items count="2">
        <item c="1" x="0" d="1"/>
        <item c="1" x="1" d="1"/>
      </items>
    </pivotField>
    <pivotField axis="axisCol" compact="0" outline="0" subtotalTop="0" showAll="0" dataSourceSort="1" defaultSubtotal="0">
      <items count="10">
        <item x="0"/>
        <item x="1"/>
        <item x="2"/>
        <item x="3"/>
        <item x="4"/>
        <item x="5"/>
        <item x="6"/>
        <item x="7"/>
        <item x="8"/>
        <item x="9"/>
      </items>
    </pivotField>
    <pivotField axis="axisRow" compact="0" allDrilled="1" outline="0" subtotalTop="0" showAll="0" dataSourceSort="1" defaultSubtotal="0">
      <items count="1">
        <item c="1" x="0" d="1"/>
      </items>
    </pivotField>
    <pivotField axis="axisRow" compact="0" outline="0" subtotalTop="0" showAll="0" dataSourceSort="1" defaultSubtotal="0">
      <items count="2">
        <item x="0"/>
        <item c="1" x="1" d="1"/>
      </items>
    </pivotField>
    <pivotField axis="axisRow" compact="0" outline="0" subtotalTop="0" showAll="0" dataSourceSort="1" defaultSubtotal="0">
      <items count="6">
        <item x="0"/>
        <item c="1" x="1"/>
        <item c="1" x="2"/>
        <item c="1" x="3"/>
        <item c="1" x="4"/>
        <item c="1" x="5"/>
      </items>
    </pivotField>
    <pivotField axis="axisRow" compact="0" outline="0" subtotalTop="0" showAll="0" dataSourceSort="1" defaultSubtotal="0"/>
    <pivotField axis="axisRow" compact="0" outline="0" subtotalTop="0" showAll="0" dataSourceSort="1" defaultSubtotal="0"/>
    <pivotField axis="axisRow" compact="0" outline="0" subtotalTop="0" showAll="0" dataSourceSort="1" defaultSubtotal="0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4">
    <field x="-2"/>
    <field x="5"/>
    <field x="6"/>
    <field x="7"/>
  </rowFields>
  <rowItems count="16">
    <i>
      <x/>
      <x/>
      <x/>
    </i>
    <i r="2">
      <x v="1"/>
      <x/>
    </i>
    <i r="3">
      <x v="1"/>
    </i>
    <i r="3">
      <x v="2"/>
    </i>
    <i r="3">
      <x v="3"/>
    </i>
    <i r="3">
      <x v="4"/>
    </i>
    <i r="3">
      <x v="5"/>
    </i>
    <i i="1">
      <x v="1"/>
      <x/>
      <x/>
    </i>
    <i r="2" i="1">
      <x v="1"/>
      <x/>
    </i>
    <i r="3" i="1">
      <x v="1"/>
    </i>
    <i r="3" i="1">
      <x v="2"/>
    </i>
    <i r="3" i="1">
      <x v="3"/>
    </i>
    <i r="3" i="1">
      <x v="4"/>
    </i>
    <i r="3" i="1">
      <x v="5"/>
    </i>
    <i t="grand">
      <x/>
    </i>
    <i t="grand" i="1">
      <x v="1"/>
    </i>
  </rowItems>
  <colFields count="3">
    <field x="2"/>
    <field x="3"/>
    <field x="4"/>
  </colFields>
  <colItems count="11">
    <i>
      <x/>
      <x/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t="grand">
      <x/>
    </i>
  </colItems>
  <dataFields count="2">
    <dataField fld="0" baseField="0" baseItem="0"/>
    <dataField fld="1" baseField="0" baseItem="0"/>
  </dataFields>
  <pivotHierarchies count="40">
    <pivotHierarchy includeNewItemsInFilter="1">
      <mps count="17">
        <mp field="11"/>
        <mp field="12"/>
        <mp field="13"/>
        <mp field="14"/>
        <mp field="15"/>
        <mp field="16"/>
        <mp field="17"/>
        <mp field="18"/>
        <mp field="19"/>
        <mp field="20"/>
        <mp field="21"/>
        <mp field="22"/>
        <mp field="23"/>
        <mp field="24"/>
        <mp field="25"/>
        <mp field="26"/>
        <mp field="27"/>
      </mps>
    </pivotHierarchy>
    <pivotHierarchy includeNewItemsInFilter="1"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2">
    <rowHierarchyUsage hierarchyUsage="-2"/>
    <rowHierarchyUsage hierarchyUsage="0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6ABD45-F132-409E-B744-F39F8100A0B5}">
  <dimension ref="A1:O20"/>
  <sheetViews>
    <sheetView tabSelected="1" topLeftCell="B1" workbookViewId="0">
      <selection activeCell="F6" sqref="F6"/>
    </sheetView>
  </sheetViews>
  <sheetFormatPr baseColWidth="10" defaultRowHeight="14.5" x14ac:dyDescent="0.35"/>
  <cols>
    <col min="1" max="1" width="14.1796875" bestFit="1" customWidth="1"/>
    <col min="2" max="2" width="9.36328125" bestFit="1" customWidth="1"/>
    <col min="3" max="3" width="9.7265625" bestFit="1" customWidth="1"/>
    <col min="4" max="4" width="20.1796875" bestFit="1" customWidth="1"/>
    <col min="5" max="14" width="11.81640625" bestFit="1" customWidth="1"/>
    <col min="15" max="15" width="11.1796875" bestFit="1" customWidth="1"/>
  </cols>
  <sheetData>
    <row r="1" spans="1:15" x14ac:dyDescent="0.35">
      <c r="A1" s="1"/>
      <c r="B1" s="2"/>
      <c r="C1" s="2"/>
      <c r="D1" s="2"/>
      <c r="E1" s="6" t="s">
        <v>3</v>
      </c>
      <c r="F1" s="17" t="s">
        <v>18</v>
      </c>
      <c r="G1" s="17" t="s">
        <v>21</v>
      </c>
      <c r="H1" s="2"/>
      <c r="I1" s="2"/>
      <c r="J1" s="2"/>
      <c r="K1" s="2"/>
      <c r="L1" s="2"/>
      <c r="M1" s="2"/>
      <c r="N1" s="2"/>
      <c r="O1" s="3"/>
    </row>
    <row r="2" spans="1:15" x14ac:dyDescent="0.35">
      <c r="A2" s="4"/>
      <c r="B2" s="5"/>
      <c r="C2" s="5"/>
      <c r="D2" s="5"/>
      <c r="E2" s="1" t="s">
        <v>4</v>
      </c>
      <c r="F2" s="2"/>
      <c r="G2" s="2"/>
      <c r="H2" s="2"/>
      <c r="I2" s="2"/>
      <c r="J2" s="2"/>
      <c r="K2" s="2"/>
      <c r="L2" s="2"/>
      <c r="M2" s="2"/>
      <c r="N2" s="2"/>
      <c r="O2" s="7" t="s">
        <v>5</v>
      </c>
    </row>
    <row r="3" spans="1:15" x14ac:dyDescent="0.35">
      <c r="A3" s="4"/>
      <c r="B3" s="5"/>
      <c r="C3" s="5"/>
      <c r="D3" s="5"/>
      <c r="E3" s="1" t="s">
        <v>19</v>
      </c>
      <c r="F3" s="1" t="s">
        <v>20</v>
      </c>
      <c r="G3" s="2"/>
      <c r="H3" s="2"/>
      <c r="I3" s="2"/>
      <c r="J3" s="2"/>
      <c r="K3" s="2"/>
      <c r="L3" s="2"/>
      <c r="M3" s="2"/>
      <c r="N3" s="2"/>
      <c r="O3" s="19"/>
    </row>
    <row r="4" spans="1:15" x14ac:dyDescent="0.35">
      <c r="A4" s="6" t="s">
        <v>1</v>
      </c>
      <c r="B4" s="6" t="s">
        <v>6</v>
      </c>
      <c r="C4" s="6" t="s">
        <v>10</v>
      </c>
      <c r="D4" s="6" t="s">
        <v>12</v>
      </c>
      <c r="E4" s="1" t="s">
        <v>22</v>
      </c>
      <c r="F4" s="1" t="s">
        <v>23</v>
      </c>
      <c r="G4" s="18" t="s">
        <v>24</v>
      </c>
      <c r="H4" s="18" t="s">
        <v>25</v>
      </c>
      <c r="I4" s="18" t="s">
        <v>26</v>
      </c>
      <c r="J4" s="18" t="s">
        <v>27</v>
      </c>
      <c r="K4" s="18" t="s">
        <v>28</v>
      </c>
      <c r="L4" s="18" t="s">
        <v>29</v>
      </c>
      <c r="M4" s="18" t="s">
        <v>30</v>
      </c>
      <c r="N4" s="18" t="s">
        <v>31</v>
      </c>
      <c r="O4" s="19"/>
    </row>
    <row r="5" spans="1:15" x14ac:dyDescent="0.35">
      <c r="A5" s="1" t="s">
        <v>0</v>
      </c>
      <c r="B5" s="1" t="s">
        <v>7</v>
      </c>
      <c r="C5" s="1" t="s">
        <v>7</v>
      </c>
      <c r="D5" s="2"/>
      <c r="E5" s="11">
        <v>0</v>
      </c>
      <c r="F5" s="11">
        <v>0</v>
      </c>
      <c r="G5" s="20">
        <v>0</v>
      </c>
      <c r="H5" s="20">
        <v>0</v>
      </c>
      <c r="I5" s="20">
        <v>0</v>
      </c>
      <c r="J5" s="20">
        <v>0</v>
      </c>
      <c r="K5" s="20">
        <v>0</v>
      </c>
      <c r="L5" s="20">
        <v>0</v>
      </c>
      <c r="M5" s="20">
        <v>0</v>
      </c>
      <c r="N5" s="20">
        <v>0</v>
      </c>
      <c r="O5" s="10">
        <v>0</v>
      </c>
    </row>
    <row r="6" spans="1:15" x14ac:dyDescent="0.35">
      <c r="A6" s="4"/>
      <c r="B6" s="4"/>
      <c r="C6" s="1" t="s">
        <v>11</v>
      </c>
      <c r="D6" s="1" t="s">
        <v>11</v>
      </c>
      <c r="E6" s="11">
        <v>101.6949152542373</v>
      </c>
      <c r="F6" s="11">
        <v>101.6949152542373</v>
      </c>
      <c r="G6" s="20">
        <v>101.69491525423732</v>
      </c>
      <c r="H6" s="20">
        <v>101.69491525423727</v>
      </c>
      <c r="I6" s="20">
        <v>84.745762711864387</v>
      </c>
      <c r="J6" s="20">
        <v>101.69491525423726</v>
      </c>
      <c r="K6" s="20">
        <v>101.69491525423726</v>
      </c>
      <c r="L6" s="20">
        <v>124.29378531073444</v>
      </c>
      <c r="M6" s="20">
        <v>101.69491525423726</v>
      </c>
      <c r="N6" s="20">
        <v>79.096045197740111</v>
      </c>
      <c r="O6" s="10">
        <v>999.99999999999977</v>
      </c>
    </row>
    <row r="7" spans="1:15" x14ac:dyDescent="0.35">
      <c r="A7" s="4"/>
      <c r="B7" s="4"/>
      <c r="C7" s="4"/>
      <c r="D7" s="14" t="s">
        <v>13</v>
      </c>
      <c r="E7" s="15">
        <v>1357.92</v>
      </c>
      <c r="F7" s="15">
        <v>0</v>
      </c>
      <c r="G7" s="21">
        <v>0</v>
      </c>
      <c r="H7" s="21">
        <v>0</v>
      </c>
      <c r="I7" s="21">
        <v>0</v>
      </c>
      <c r="J7" s="21">
        <v>0</v>
      </c>
      <c r="K7" s="21">
        <v>0</v>
      </c>
      <c r="L7" s="21">
        <v>0</v>
      </c>
      <c r="M7" s="21">
        <v>0</v>
      </c>
      <c r="N7" s="21">
        <v>0</v>
      </c>
      <c r="O7" s="16">
        <v>1357.92</v>
      </c>
    </row>
    <row r="8" spans="1:15" x14ac:dyDescent="0.35">
      <c r="A8" s="4"/>
      <c r="B8" s="4"/>
      <c r="C8" s="4"/>
      <c r="D8" s="14" t="s">
        <v>14</v>
      </c>
      <c r="E8" s="15"/>
      <c r="F8" s="15">
        <v>1357.92</v>
      </c>
      <c r="G8" s="21">
        <v>1357.92</v>
      </c>
      <c r="H8" s="21">
        <v>1357.92</v>
      </c>
      <c r="I8" s="21">
        <v>1131.6000000000001</v>
      </c>
      <c r="J8" s="21">
        <v>0</v>
      </c>
      <c r="K8" s="21">
        <v>0</v>
      </c>
      <c r="L8" s="21">
        <v>0</v>
      </c>
      <c r="M8" s="21">
        <v>0</v>
      </c>
      <c r="N8" s="21">
        <v>0</v>
      </c>
      <c r="O8" s="16">
        <v>5205.3600000000006</v>
      </c>
    </row>
    <row r="9" spans="1:15" x14ac:dyDescent="0.35">
      <c r="A9" s="4"/>
      <c r="B9" s="4"/>
      <c r="C9" s="4"/>
      <c r="D9" s="14" t="s">
        <v>15</v>
      </c>
      <c r="E9" s="15"/>
      <c r="F9" s="15"/>
      <c r="G9" s="21"/>
      <c r="H9" s="21"/>
      <c r="I9" s="21"/>
      <c r="J9" s="21">
        <v>1451.7333333333333</v>
      </c>
      <c r="K9" s="21">
        <v>1638.0933333333335</v>
      </c>
      <c r="L9" s="21">
        <v>1451.7333333333333</v>
      </c>
      <c r="M9" s="21">
        <v>0</v>
      </c>
      <c r="N9" s="21">
        <v>0</v>
      </c>
      <c r="O9" s="16">
        <v>4541.5600000000004</v>
      </c>
    </row>
    <row r="10" spans="1:15" x14ac:dyDescent="0.35">
      <c r="A10" s="4"/>
      <c r="B10" s="4"/>
      <c r="C10" s="4"/>
      <c r="D10" s="14" t="s">
        <v>16</v>
      </c>
      <c r="E10" s="15"/>
      <c r="F10" s="15"/>
      <c r="G10" s="21"/>
      <c r="H10" s="21"/>
      <c r="I10" s="21"/>
      <c r="J10" s="21">
        <v>0</v>
      </c>
      <c r="K10" s="21">
        <v>0</v>
      </c>
      <c r="L10" s="21">
        <v>0</v>
      </c>
      <c r="M10" s="21">
        <v>905.28</v>
      </c>
      <c r="N10" s="21">
        <v>0</v>
      </c>
      <c r="O10" s="16">
        <v>905.28</v>
      </c>
    </row>
    <row r="11" spans="1:15" x14ac:dyDescent="0.35">
      <c r="A11" s="4"/>
      <c r="B11" s="4"/>
      <c r="C11" s="4"/>
      <c r="D11" s="14" t="s">
        <v>17</v>
      </c>
      <c r="E11" s="15"/>
      <c r="F11" s="15"/>
      <c r="G11" s="21"/>
      <c r="H11" s="21"/>
      <c r="I11" s="21"/>
      <c r="J11" s="21">
        <v>0</v>
      </c>
      <c r="K11" s="21">
        <v>0</v>
      </c>
      <c r="L11" s="21">
        <v>0</v>
      </c>
      <c r="M11" s="21">
        <v>226.32</v>
      </c>
      <c r="N11" s="21">
        <v>678.96</v>
      </c>
      <c r="O11" s="16">
        <v>905.28</v>
      </c>
    </row>
    <row r="12" spans="1:15" x14ac:dyDescent="0.35">
      <c r="A12" s="1" t="s">
        <v>2</v>
      </c>
      <c r="B12" s="1" t="s">
        <v>7</v>
      </c>
      <c r="C12" s="1" t="s">
        <v>7</v>
      </c>
      <c r="D12" s="2"/>
      <c r="E12" s="11">
        <v>0</v>
      </c>
      <c r="F12" s="11">
        <v>0</v>
      </c>
      <c r="G12" s="20">
        <v>0</v>
      </c>
      <c r="H12" s="20">
        <v>0</v>
      </c>
      <c r="I12" s="20">
        <v>0</v>
      </c>
      <c r="J12" s="20">
        <v>0</v>
      </c>
      <c r="K12" s="20">
        <v>0</v>
      </c>
      <c r="L12" s="20">
        <v>0</v>
      </c>
      <c r="M12" s="20">
        <v>0</v>
      </c>
      <c r="N12" s="20">
        <v>0</v>
      </c>
      <c r="O12" s="10">
        <v>0</v>
      </c>
    </row>
    <row r="13" spans="1:15" x14ac:dyDescent="0.35">
      <c r="A13" s="4"/>
      <c r="B13" s="4"/>
      <c r="C13" s="1" t="s">
        <v>11</v>
      </c>
      <c r="D13" s="1" t="s">
        <v>11</v>
      </c>
      <c r="E13" s="11">
        <v>101.6949152542373</v>
      </c>
      <c r="F13" s="11">
        <v>203.3898305084746</v>
      </c>
      <c r="G13" s="20">
        <v>305.08474576271192</v>
      </c>
      <c r="H13" s="20">
        <v>406.77966101694921</v>
      </c>
      <c r="I13" s="20">
        <v>491.52542372881356</v>
      </c>
      <c r="J13" s="20">
        <v>593.22033898305085</v>
      </c>
      <c r="K13" s="20">
        <v>694.91525423728808</v>
      </c>
      <c r="L13" s="20">
        <v>819.20903954802247</v>
      </c>
      <c r="M13" s="20">
        <v>920.9039548022597</v>
      </c>
      <c r="N13" s="20">
        <v>999.99999999999989</v>
      </c>
      <c r="O13" s="10">
        <v>999.99999999999989</v>
      </c>
    </row>
    <row r="14" spans="1:15" x14ac:dyDescent="0.35">
      <c r="A14" s="4"/>
      <c r="B14" s="4"/>
      <c r="C14" s="4"/>
      <c r="D14" s="14" t="s">
        <v>13</v>
      </c>
      <c r="E14" s="15">
        <v>1357.92</v>
      </c>
      <c r="F14" s="15">
        <v>1357.92</v>
      </c>
      <c r="G14" s="21">
        <v>1357.92</v>
      </c>
      <c r="H14" s="21">
        <v>1357.92</v>
      </c>
      <c r="I14" s="21">
        <v>1357.92</v>
      </c>
      <c r="J14" s="21">
        <v>1357.92</v>
      </c>
      <c r="K14" s="21">
        <v>1357.92</v>
      </c>
      <c r="L14" s="21">
        <v>1357.92</v>
      </c>
      <c r="M14" s="21">
        <v>1357.92</v>
      </c>
      <c r="N14" s="21">
        <v>1357.92</v>
      </c>
      <c r="O14" s="16">
        <v>1357.92</v>
      </c>
    </row>
    <row r="15" spans="1:15" x14ac:dyDescent="0.35">
      <c r="A15" s="4"/>
      <c r="B15" s="4"/>
      <c r="C15" s="4"/>
      <c r="D15" s="14" t="s">
        <v>14</v>
      </c>
      <c r="E15" s="15"/>
      <c r="F15" s="15">
        <v>1357.92</v>
      </c>
      <c r="G15" s="21">
        <v>2715.84</v>
      </c>
      <c r="H15" s="21">
        <v>4073.76</v>
      </c>
      <c r="I15" s="21">
        <v>5205.3600000000006</v>
      </c>
      <c r="J15" s="21">
        <v>5205.3600000000006</v>
      </c>
      <c r="K15" s="21">
        <v>5205.3600000000006</v>
      </c>
      <c r="L15" s="21">
        <v>5205.3600000000006</v>
      </c>
      <c r="M15" s="21">
        <v>5205.3600000000006</v>
      </c>
      <c r="N15" s="21">
        <v>5205.3600000000006</v>
      </c>
      <c r="O15" s="16">
        <v>5205.3600000000006</v>
      </c>
    </row>
    <row r="16" spans="1:15" x14ac:dyDescent="0.35">
      <c r="A16" s="4"/>
      <c r="B16" s="4"/>
      <c r="C16" s="4"/>
      <c r="D16" s="14" t="s">
        <v>15</v>
      </c>
      <c r="E16" s="15"/>
      <c r="F16" s="15"/>
      <c r="G16" s="21"/>
      <c r="H16" s="21"/>
      <c r="I16" s="21"/>
      <c r="J16" s="21">
        <v>1451.7333333333333</v>
      </c>
      <c r="K16" s="21">
        <v>3089.8266666666673</v>
      </c>
      <c r="L16" s="21">
        <v>4541.5600000000004</v>
      </c>
      <c r="M16" s="21">
        <v>4541.5600000000004</v>
      </c>
      <c r="N16" s="21">
        <v>4541.5600000000004</v>
      </c>
      <c r="O16" s="16">
        <v>4541.5600000000004</v>
      </c>
    </row>
    <row r="17" spans="1:15" x14ac:dyDescent="0.35">
      <c r="A17" s="4"/>
      <c r="B17" s="4"/>
      <c r="C17" s="4"/>
      <c r="D17" s="14" t="s">
        <v>16</v>
      </c>
      <c r="E17" s="15"/>
      <c r="F17" s="15"/>
      <c r="G17" s="21"/>
      <c r="H17" s="21"/>
      <c r="I17" s="21"/>
      <c r="J17" s="21">
        <v>0</v>
      </c>
      <c r="K17" s="21">
        <v>0</v>
      </c>
      <c r="L17" s="21">
        <v>0</v>
      </c>
      <c r="M17" s="21">
        <v>905.28</v>
      </c>
      <c r="N17" s="21">
        <v>905.28</v>
      </c>
      <c r="O17" s="16">
        <v>905.28</v>
      </c>
    </row>
    <row r="18" spans="1:15" x14ac:dyDescent="0.35">
      <c r="A18" s="4"/>
      <c r="B18" s="4"/>
      <c r="C18" s="4"/>
      <c r="D18" s="14" t="s">
        <v>17</v>
      </c>
      <c r="E18" s="15"/>
      <c r="F18" s="15"/>
      <c r="G18" s="21"/>
      <c r="H18" s="21"/>
      <c r="I18" s="21"/>
      <c r="J18" s="21">
        <v>0</v>
      </c>
      <c r="K18" s="21">
        <v>0</v>
      </c>
      <c r="L18" s="21">
        <v>0</v>
      </c>
      <c r="M18" s="21">
        <v>226.32</v>
      </c>
      <c r="N18" s="21">
        <v>905.28</v>
      </c>
      <c r="O18" s="16">
        <v>905.28</v>
      </c>
    </row>
    <row r="19" spans="1:15" x14ac:dyDescent="0.35">
      <c r="A19" s="1" t="s">
        <v>8</v>
      </c>
      <c r="B19" s="2"/>
      <c r="C19" s="2"/>
      <c r="D19" s="2"/>
      <c r="E19" s="11">
        <v>1459.6149152542373</v>
      </c>
      <c r="F19" s="11">
        <v>1459.6149152542373</v>
      </c>
      <c r="G19" s="20">
        <v>1459.6149152542373</v>
      </c>
      <c r="H19" s="20">
        <v>1459.6149152542373</v>
      </c>
      <c r="I19" s="20">
        <v>1216.3457627118646</v>
      </c>
      <c r="J19" s="20">
        <v>1553.4282485875708</v>
      </c>
      <c r="K19" s="20">
        <v>1739.7882485875707</v>
      </c>
      <c r="L19" s="20">
        <v>1576.027118644068</v>
      </c>
      <c r="M19" s="20">
        <v>1233.2949152542371</v>
      </c>
      <c r="N19" s="20">
        <v>758.0560451977401</v>
      </c>
      <c r="O19" s="10">
        <v>13915.399999999998</v>
      </c>
    </row>
    <row r="20" spans="1:15" x14ac:dyDescent="0.35">
      <c r="A20" s="8" t="s">
        <v>9</v>
      </c>
      <c r="B20" s="12"/>
      <c r="C20" s="12"/>
      <c r="D20" s="12"/>
      <c r="E20" s="13">
        <v>1459.6149152542373</v>
      </c>
      <c r="F20" s="13">
        <v>2919.2298305084751</v>
      </c>
      <c r="G20" s="22">
        <v>4378.8447457627117</v>
      </c>
      <c r="H20" s="22">
        <v>5838.4596610169492</v>
      </c>
      <c r="I20" s="22">
        <v>7054.8054237288143</v>
      </c>
      <c r="J20" s="22">
        <v>8608.2336723163826</v>
      </c>
      <c r="K20" s="22">
        <v>10348.021920903953</v>
      </c>
      <c r="L20" s="22">
        <v>11924.049039548021</v>
      </c>
      <c r="M20" s="22">
        <v>13157.343954802258</v>
      </c>
      <c r="N20" s="22">
        <v>13915.4</v>
      </c>
      <c r="O20" s="9">
        <v>13915.4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Celia Suárez</dc:creator>
  <cp:lastModifiedBy>Celia Suárez</cp:lastModifiedBy>
  <dcterms:created xsi:type="dcterms:W3CDTF">2025-10-31T09:49:17Z</dcterms:created>
  <dcterms:modified xsi:type="dcterms:W3CDTF">2025-10-31T09:54:08Z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188744941,188744943,188744945,188744857,188744856,188744852,188744851,188744940,188744955,188744954,188743688,188744947,188744948,188744951,188743686,188744981,188744980,188744979,188743681,188743698,188744967,188744966,188743701,188743700,188744799,18874</vt:lpwstr>
  </property>
  <property fmtid="{D5CDD505-2E9C-101B-9397-08002B2CF9AE}" pid="3" name="P12ProjectFields1">
    <vt:lpwstr>3705,188744965,188743702,188743696,</vt:lpwstr>
  </property>
  <property fmtid="{D5CDD505-2E9C-101B-9397-08002B2CF9AE}" pid="4" name="P12ContainerType">
    <vt:lpwstr>TaskTP.cub</vt:lpwstr>
  </property>
  <property fmtid="{D5CDD505-2E9C-101B-9397-08002B2CF9AE}" pid="5" name="P12Template">
    <vt:bool>true</vt:bool>
  </property>
</Properties>
</file>